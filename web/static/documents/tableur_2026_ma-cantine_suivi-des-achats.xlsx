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D:\Documents\ma cantine\GUIDES ET ARTICLES ma cantine\tableur suivi achats\"/>
    </mc:Choice>
  </mc:AlternateContent>
  <xr:revisionPtr revIDLastSave="0" documentId="13_ncr:1_{9641BA84-B23C-4C79-8EC3-193F21ED760B}" xr6:coauthVersionLast="47" xr6:coauthVersionMax="47" xr10:uidLastSave="{00000000-0000-0000-0000-000000000000}"/>
  <bookViews>
    <workbookView xWindow="28680" yWindow="-120" windowWidth="29040" windowHeight="15720" tabRatio="500" activeTab="1" xr2:uid="{00000000-000D-0000-FFFF-FFFF00000000}"/>
  </bookViews>
  <sheets>
    <sheet name="Synthèse" sheetId="4" r:id="rId1"/>
    <sheet name="Approvisionnements" sheetId="1" r:id="rId2"/>
    <sheet name="Feuil1" sheetId="2" r:id="rId3"/>
  </sheets>
  <definedNames>
    <definedName name="_xlnm._FilterDatabase" localSheetId="1" hidden="1">Approvisionnements!$A$1:$J$1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C45" i="4" l="1" a="1"/>
  <c r="C45" i="4" s="1"/>
  <c r="C47" i="4" a="1"/>
  <c r="C47" i="4" s="1"/>
  <c r="C43" i="4" a="1"/>
  <c r="C43" i="4" s="1"/>
  <c r="C41" i="4" a="1"/>
  <c r="C41" i="4" s="1"/>
  <c r="C39" i="4" a="1"/>
  <c r="C39" i="4" s="1"/>
  <c r="C37" i="4" a="1"/>
  <c r="C37" i="4" s="1"/>
  <c r="C35" i="4" a="1"/>
  <c r="C35" i="4" s="1"/>
  <c r="C29" i="4" a="1"/>
  <c r="C29" i="4" s="1"/>
  <c r="C23" i="4" a="1"/>
  <c r="C23" i="4" s="1"/>
  <c r="C33" i="4" s="1"/>
  <c r="C21" i="4" a="1"/>
  <c r="C21" i="4" s="1"/>
  <c r="C13" i="4" a="1"/>
  <c r="C13" i="4" s="1"/>
  <c r="C8" i="4" a="1"/>
  <c r="C8" i="4" s="1"/>
  <c r="C7" i="4" a="1"/>
  <c r="C7" i="4" s="1"/>
  <c r="C10" i="4" l="1"/>
  <c r="C15" i="4" l="1"/>
  <c r="C1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Dorian FLIPO</author>
  </authors>
  <commentList>
    <comment ref="A1" authorId="0" shapeId="0" xr:uid="{E9CAC044-BEFF-4344-9757-362D2B6B91D0}">
      <text>
        <r>
          <rPr>
            <b/>
            <sz val="9"/>
            <color indexed="81"/>
            <rFont val="Tahoma"/>
            <family val="2"/>
          </rPr>
          <t xml:space="preserve">Exemple : </t>
        </r>
        <r>
          <rPr>
            <sz val="9"/>
            <color indexed="81"/>
            <rFont val="Tahoma"/>
            <family val="2"/>
          </rPr>
          <t>82399356058716</t>
        </r>
      </text>
    </comment>
    <comment ref="B1" authorId="0" shapeId="0" xr:uid="{2207A05E-624D-46DD-999B-FB4D528832E8}">
      <text>
        <r>
          <rPr>
            <b/>
            <sz val="9"/>
            <color indexed="81"/>
            <rFont val="Tahoma"/>
            <family val="2"/>
          </rPr>
          <t xml:space="preserve">Exemple : </t>
        </r>
        <r>
          <rPr>
            <sz val="9"/>
            <color indexed="81"/>
            <rFont val="Tahoma"/>
            <family val="2"/>
          </rPr>
          <t>Pommes de terre</t>
        </r>
      </text>
    </comment>
    <comment ref="C1" authorId="0" shapeId="0" xr:uid="{157E70C9-1028-4B35-AB2A-F765410A02B1}">
      <text>
        <r>
          <rPr>
            <b/>
            <sz val="9"/>
            <color indexed="81"/>
            <rFont val="Tahoma"/>
            <family val="2"/>
          </rPr>
          <t xml:space="preserve">Exemple : </t>
        </r>
        <r>
          <rPr>
            <sz val="9"/>
            <color indexed="81"/>
            <rFont val="Tahoma"/>
            <family val="2"/>
          </rPr>
          <t>Le traiteur du village</t>
        </r>
      </text>
    </comment>
    <comment ref="D1" authorId="0" shapeId="0" xr:uid="{A608ED33-14CE-466C-A613-0B996CE86FB5}">
      <text>
        <r>
          <rPr>
            <b/>
            <sz val="9"/>
            <color indexed="81"/>
            <rFont val="Tahoma"/>
            <family val="2"/>
          </rPr>
          <t xml:space="preserve">ATTENTION </t>
        </r>
        <r>
          <rPr>
            <sz val="9"/>
            <color indexed="81"/>
            <rFont val="Tahoma"/>
            <family val="2"/>
          </rPr>
          <t>format à respecter : 
AAAA-MM-JJ</t>
        </r>
        <r>
          <rPr>
            <b/>
            <sz val="9"/>
            <color indexed="81"/>
            <rFont val="Tahoma"/>
            <family val="2"/>
          </rPr>
          <t xml:space="preserve">
Exemple : 2025-01-30</t>
        </r>
      </text>
    </comment>
    <comment ref="E1" authorId="0" shapeId="0" xr:uid="{30EFEDD4-83AD-4D17-B11B-BAF7E186534C}">
      <text>
        <r>
          <rPr>
            <b/>
            <sz val="9"/>
            <color indexed="81"/>
            <rFont val="Tahoma"/>
            <family val="2"/>
          </rPr>
          <t xml:space="preserve">Chiffre brut. Décimales séparées par un point. Exemple : 1234.99
</t>
        </r>
        <r>
          <rPr>
            <sz val="9"/>
            <color indexed="81"/>
            <rFont val="Tahoma"/>
            <family val="2"/>
          </rPr>
          <t>ne pas intégrer de signe ("€" etc)
ne pas utiliser de virgule (",")</t>
        </r>
      </text>
    </comment>
    <comment ref="G1" authorId="0" shapeId="0" xr:uid="{8858203B-07AD-4FB4-A501-2959C0E601E3}">
      <text>
        <r>
          <rPr>
            <sz val="9"/>
            <color indexed="81"/>
            <rFont val="Tahoma"/>
            <charset val="1"/>
          </rPr>
          <t xml:space="preserve">Cette cellule doit contenir la caractéristique principale du produit. Le produit sera inscrit dans le bilan annuel </t>
        </r>
        <r>
          <rPr>
            <b/>
            <sz val="9"/>
            <color indexed="81"/>
            <rFont val="Tahoma"/>
            <family val="2"/>
          </rPr>
          <t>uniquement</t>
        </r>
        <r>
          <rPr>
            <sz val="9"/>
            <color indexed="81"/>
            <rFont val="Tahoma"/>
            <charset val="1"/>
          </rPr>
          <t xml:space="preserve"> sur cette caractéristique (hors COMMERCE_EQUITABLE ou FRANCE, CIRCUIT_COURT, LOCAL qui disposent de champs dédiés dans le bilan)</t>
        </r>
      </text>
    </comment>
    <comment ref="H1" authorId="0" shapeId="0" xr:uid="{FAF8385A-B321-40B4-8FC6-B69F133C8CFF}">
      <text>
        <r>
          <rPr>
            <sz val="9"/>
            <color indexed="81"/>
            <rFont val="Tahoma"/>
            <charset val="1"/>
          </rPr>
          <t xml:space="preserve">Cette cellule permet de renseigner une seconde caractéristique. 
</t>
        </r>
        <r>
          <rPr>
            <b/>
            <sz val="9"/>
            <color indexed="81"/>
            <rFont val="Tahoma"/>
            <family val="2"/>
          </rPr>
          <t>ATTENTION</t>
        </r>
        <r>
          <rPr>
            <sz val="9"/>
            <color indexed="81"/>
            <rFont val="Tahoma"/>
            <charset val="1"/>
          </rPr>
          <t xml:space="preserve"> : seule la caractéristique COMMERCE_EQUITABLE sera pris en compte dans le bilan, uniquement si elles est en complément du BIO (renseigné en colonne G). L'ensemble des autres caractéristiques de cette cellule ne seront pas pris en compte.</t>
        </r>
      </text>
    </comment>
    <comment ref="I1" authorId="0" shapeId="0" xr:uid="{674CDB8F-7D26-425C-A1E2-FC0DCFFCCA06}">
      <text>
        <r>
          <rPr>
            <b/>
            <sz val="9"/>
            <color indexed="81"/>
            <rFont val="Tahoma"/>
            <family val="2"/>
          </rPr>
          <t>ATTENTION</t>
        </r>
        <r>
          <rPr>
            <sz val="9"/>
            <color indexed="81"/>
            <rFont val="Tahoma"/>
            <family val="2"/>
          </rPr>
          <t xml:space="preserve"> : les item "LOCAL" et "CIRCUIT_COURT" sont des sous-ensemble de l'origine France. Tous les produits renseignés dans une de ces 3 catégories seront considérées comme Origine France dans le bilan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<sst xmlns="http://schemas.openxmlformats.org/spreadsheetml/2006/main" count="82" uniqueCount="65">
  <si>
    <t>AUTRES</t>
  </si>
  <si>
    <t>REGION</t>
  </si>
  <si>
    <t>VIANDES_VOLAILLES</t>
  </si>
  <si>
    <t>CHARCUTERIE</t>
  </si>
  <si>
    <t>PRODUITS_DE_LA_MER</t>
  </si>
  <si>
    <t>FRUITS_ET_LEGUMES</t>
  </si>
  <si>
    <t>BOISSONS</t>
  </si>
  <si>
    <t>BIO</t>
  </si>
  <si>
    <t>LABEL_ROUGE</t>
  </si>
  <si>
    <t>IGP</t>
  </si>
  <si>
    <t>STG</t>
  </si>
  <si>
    <t>HVE</t>
  </si>
  <si>
    <t>PECHE_DURABLE</t>
  </si>
  <si>
    <t>RUP</t>
  </si>
  <si>
    <t>COMMERCE_EQUITABLE</t>
  </si>
  <si>
    <t>FERMIER</t>
  </si>
  <si>
    <t>EXTERNALITES</t>
  </si>
  <si>
    <t>PERFORMANCE</t>
  </si>
  <si>
    <t>AUTOUR_SERVICE</t>
  </si>
  <si>
    <t>AUTRE</t>
  </si>
  <si>
    <t>SYNTHESE DES RESULTATS</t>
  </si>
  <si>
    <t xml:space="preserve">Total (en € HT) de tous mes achats alimentaires </t>
  </si>
  <si>
    <t>La valeur (en € HT) de mes achats SIQO (Label Rouge, AOC / AOP, IGP, STG)</t>
  </si>
  <si>
    <t>La valeur (en € HT) des autres achats Egalim (HVE, pêche durable, RUP, commerce équitable, produits fermiers)</t>
  </si>
  <si>
    <t xml:space="preserve">Zoom sur la famille « viandes et volailles » </t>
  </si>
  <si>
    <t xml:space="preserve"> Total (en € HT) de mes achats en viandes et volailles fraiches ou surgelées </t>
  </si>
  <si>
    <t>Total (en € HT) de mes achats EGalim en viandes et volailles</t>
  </si>
  <si>
    <t xml:space="preserve">Total (en € HT) de mes achats provenance France en viandes et volailles </t>
  </si>
  <si>
    <t xml:space="preserve">Zoom sur la famille « produits de la mer et de l’aquaculture » </t>
  </si>
  <si>
    <t xml:space="preserve">Total (en € HT) de mes achats en poissons, produits de la mer et de l'aquaculture </t>
  </si>
  <si>
    <t>Total (en € HT) de mes achats EGalim en poissons, produits de la mer et de l'aquaculture</t>
  </si>
  <si>
    <t>(à compléter)</t>
  </si>
  <si>
    <t>La valeur (en € HT) de mes achats Bio</t>
  </si>
  <si>
    <t>La valeur (en € HT) de mes achats prenant en compte les coûts imputés aux externalités environnementales ou acquis sur la base de leurs performances en matière environnementale et en terme d'approvisionnement direct</t>
  </si>
  <si>
    <t>Attention : Les résultats ci-dessous concernent uniquement les produits jusqu'à la ligne 1 000 000 du feuillet "Approvisionenements"</t>
  </si>
  <si>
    <t>Familles_produits</t>
  </si>
  <si>
    <t>PRODUITS_LAITIERS</t>
  </si>
  <si>
    <t>BOULANGERIE</t>
  </si>
  <si>
    <t>AOCAOP</t>
  </si>
  <si>
    <t>LOCAL</t>
  </si>
  <si>
    <t>DEPARTMENT</t>
  </si>
  <si>
    <t>famille_produits</t>
  </si>
  <si>
    <t>definition_local</t>
  </si>
  <si>
    <t>cantine_id</t>
  </si>
  <si>
    <t>description</t>
  </si>
  <si>
    <t>fournisseur</t>
  </si>
  <si>
    <t>date</t>
  </si>
  <si>
    <t>prix_ht</t>
  </si>
  <si>
    <t>FRANCE</t>
  </si>
  <si>
    <t>CIRCUIT_COURT</t>
  </si>
  <si>
    <t>caracteristique_label1</t>
  </si>
  <si>
    <t>caracteristique_label2</t>
  </si>
  <si>
    <t>caracteristique_france</t>
  </si>
  <si>
    <t>Dont valeur (en € HT) de mes achats Bio et Commerce équitable</t>
  </si>
  <si>
    <t>Dont valeur (en € HT) des achats Commerce équitable (hors bio)</t>
  </si>
  <si>
    <t>Zoom sur l'origine France</t>
  </si>
  <si>
    <r>
      <t xml:space="preserve">Données à reporter dans </t>
    </r>
    <r>
      <rPr>
        <b/>
        <i/>
        <sz val="16"/>
        <color theme="0"/>
        <rFont val="Calibri"/>
        <family val="2"/>
      </rPr>
      <t>ma Cantine (saisie bilan simplifié)</t>
    </r>
  </si>
  <si>
    <t>Total (en € HT) de mes achats origine France - Viandes et volailles</t>
  </si>
  <si>
    <t>Total (en € HT) de mes achats origine France - Poissons, produits de la mer et de l'aquaculture</t>
  </si>
  <si>
    <t>Total (en € HT) de mes achats origine France - Charcuterie</t>
  </si>
  <si>
    <t>Total (en € HT) de mes achats origine France - Fruits et légumes frais et surgelés</t>
  </si>
  <si>
    <t>Total (en € HT) de mes achats origine France - BOF (Produits laitiers, beurre et œufs)</t>
  </si>
  <si>
    <t>Total (en € HT) de mes achats origine France - Boulangerie / Pâtisserie fraîches</t>
  </si>
  <si>
    <t>Total (en € HT) de mes achats origine France - Boissons</t>
  </si>
  <si>
    <t>Total (en € HT) de mes achats origine France - Autres produits frais, surgelés et d’épicerie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</si>
</sst>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5" x14ac:knownFonts="1">
    <font>
      <sz val="12"/>
      <color theme="1"/>
      <name val="Calibri"/>
      <family val="2"/>
      <charset val="1"/>
    </font>
    <font>
      <sz val="12"/>
      <color theme="1"/>
      <name val="Calibri"/>
      <family val="2"/>
      <charset val="1"/>
    </font>
    <font>
      <b/>
      <sz val="16"/>
      <color rgb="FF002060"/>
      <name val="Calibri"/>
      <family val="2"/>
    </font>
    <font>
      <b/>
      <sz val="16"/>
      <color theme="0"/>
      <name val="Calibri"/>
      <family val="2"/>
    </font>
    <font>
      <i/>
      <sz val="9"/>
      <color theme="1"/>
      <name val="Calibri"/>
      <family val="2"/>
    </font>
    <font>
      <sz val="16"/>
      <color rgb="FF002060"/>
      <name val="Calibri"/>
      <family val="2"/>
    </font>
    <font>
      <b/>
      <i/>
      <sz val="16"/>
      <color theme="0"/>
      <name val="Calibri"/>
      <family val="2"/>
    </font>
    <font>
      <sz val="12"/>
      <color rgb="FF002060"/>
      <name val="Calibri"/>
      <family val="2"/>
      <charset val="1"/>
    </font>
    <font>
      <sz val="12"/>
      <color rgb="FFFF0000"/>
      <name val="Calibri"/>
      <family val="2"/>
      <charset val="1"/>
    </font>
    <font>
      <b/>
      <sz val="12"/>
      <color rgb="FFFF0000"/>
      <name val="Calibri"/>
      <family val="2"/>
    </font>
    <font>
      <sz val="9"/>
      <color indexed="81"/>
      <name val="Tahoma"/>
      <charset val="1"/>
    </font>
    <font>
      <b/>
      <sz val="9"/>
      <color indexed="81"/>
      <name val="Tahoma"/>
      <family val="2"/>
    </font>
    <font>
      <sz val="9"/>
      <color indexed="81"/>
      <name val="Tahoma"/>
      <family val="2"/>
    </font>
    <font>
      <sz val="8"/>
      <name val="Calibri"/>
      <family val="2"/>
      <charset val="1"/>
    </font>
    <font>
      <b/>
      <sz val="12"/>
      <color theme="1"/>
      <name val="Calibri"/>
      <family val="2"/>
    </font>
  </fonts>
  <fills count="6">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bottom/>
      <diagonal/>
    </border>
    <border>
      <left/>
      <right/>
      <top style="thin">
        <color indexed="64"/>
      </top>
      <bottom style="thin">
        <color indexed="64"/>
      </bottom>
      <diagonal/>
    </border>
    <border>
      <left/>
      <right/>
      <top/>
      <bottom style="dotted">
        <color indexed="64"/>
      </bottom>
      <diagonal/>
    </border>
  </borders>
  <cellStyleXfs count="2">
    <xf numFmtId="0" fontId="0" fillId="0" borderId="0"/>
    <xf numFmtId="44" fontId="1" fillId="0" borderId="0" applyFont="0" applyFill="0" applyBorder="0" applyAlignment="0" applyProtection="0"/>
  </cellStyleXfs>
  <cellXfs count="33">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0" fillId="0" borderId="1" xfId="0" applyBorder="1" applyAlignment="1">
      <alignment wrapText="1"/>
    </xf>
    <xf numFmtId="0" fontId="0" fillId="0" borderId="1" xfId="0" applyBorder="1"/>
    <xf numFmtId="0" fontId="4" fillId="0" borderId="0" xfId="0" applyFont="1"/>
    <xf numFmtId="14" fontId="0" fillId="0" borderId="0" xfId="0" applyNumberFormat="1"/>
    <xf numFmtId="0" fontId="7" fillId="2" borderId="0" xfId="0" applyFont="1" applyFill="1"/>
    <xf numFmtId="0" fontId="2" fillId="4" borderId="0" xfId="0" applyFont="1" applyFill="1" applyAlignment="1">
      <alignment wrapText="1"/>
    </xf>
    <xf numFmtId="0" fontId="5" fillId="4" borderId="0" xfId="0" applyFont="1" applyFill="1"/>
    <xf numFmtId="44" fontId="0" fillId="0" borderId="0" xfId="1" applyFont="1"/>
    <xf numFmtId="44" fontId="0" fillId="3" borderId="1" xfId="1" applyFont="1" applyFill="1" applyBorder="1"/>
    <xf numFmtId="44" fontId="5" fillId="4" borderId="0" xfId="1" applyFont="1" applyFill="1"/>
    <xf numFmtId="44" fontId="0" fillId="2" borderId="0" xfId="1" applyFont="1" applyFill="1"/>
    <xf numFmtId="44" fontId="0" fillId="3" borderId="1" xfId="1" quotePrefix="1" applyFont="1" applyFill="1" applyBorder="1"/>
    <xf numFmtId="0" fontId="9" fillId="0" borderId="0" xfId="0" applyFont="1" applyAlignment="1">
      <alignment vertical="top"/>
    </xf>
    <xf numFmtId="44" fontId="8" fillId="0" borderId="0" xfId="1" applyFont="1" applyAlignment="1">
      <alignment vertical="top"/>
    </xf>
    <xf numFmtId="0" fontId="8" fillId="0" borderId="0" xfId="0" applyFont="1" applyAlignment="1">
      <alignment vertical="top"/>
    </xf>
    <xf numFmtId="0" fontId="0" fillId="0" borderId="0" xfId="0" applyNumberFormat="1"/>
    <xf numFmtId="49" fontId="14" fillId="5" borderId="0" xfId="0" applyNumberFormat="1" applyFont="1" applyFill="1"/>
    <xf numFmtId="0" fontId="14" fillId="5" borderId="0" xfId="0" applyNumberFormat="1" applyFont="1" applyFill="1"/>
    <xf numFmtId="49" fontId="14" fillId="5" borderId="0" xfId="1" applyNumberFormat="1" applyFont="1" applyFill="1"/>
    <xf numFmtId="49" fontId="0" fillId="0" borderId="0" xfId="1" applyNumberFormat="1" applyFont="1"/>
    <xf numFmtId="0" fontId="0" fillId="0" borderId="2" xfId="0" applyBorder="1" applyAlignment="1">
      <alignment wrapText="1"/>
    </xf>
    <xf numFmtId="44" fontId="0" fillId="3" borderId="3" xfId="1" applyFont="1" applyFill="1" applyBorder="1"/>
    <xf numFmtId="0" fontId="0" fillId="0" borderId="4" xfId="0" applyBorder="1" applyAlignment="1">
      <alignment wrapText="1"/>
    </xf>
    <xf numFmtId="44" fontId="0" fillId="3" borderId="5" xfId="1" applyFont="1" applyFill="1" applyBorder="1"/>
    <xf numFmtId="0" fontId="0" fillId="0" borderId="6" xfId="0" applyBorder="1"/>
    <xf numFmtId="44" fontId="0" fillId="3" borderId="8" xfId="1" applyFont="1" applyFill="1" applyBorder="1"/>
    <xf numFmtId="44" fontId="0" fillId="0" borderId="7" xfId="1" applyFont="1" applyBorder="1"/>
    <xf numFmtId="0" fontId="3" fillId="2" borderId="0" xfId="0" applyFont="1" applyFill="1" applyAlignment="1">
      <alignment horizontal="left" vertical="center"/>
    </xf>
    <xf numFmtId="0" fontId="2" fillId="4" borderId="0" xfId="0" applyFont="1" applyFill="1" applyAlignment="1">
      <alignment horizontal="left" vertical="center" wrapText="1"/>
    </xf>
  </cellXfs>
  <cellStyles count="2">
    <cellStyle name="Monétaire"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rgb="FF002060"/>
  </sheetPr>
  <dimension ref="A1:E48"/>
  <sheetViews>
    <sheetView zoomScale="115" zoomScaleNormal="115" workbookViewId="0">
      <selection activeCell="C45" sqref="C45"/>
    </sheetView>
  </sheetViews>
  <sheetFormatPr baseColWidth="10" defaultRowHeight="15.75" x14ac:dyDescent="0.25"/>
  <cols>
    <col min="1" max="1" width="0.875" customWidth="1"/>
    <col min="2" max="2" width="63.875" style="1" customWidth="1"/>
    <col min="3" max="3" width="27.625" style="11" customWidth="1"/>
    <col min="5" max="5" width="0.875" customWidth="1"/>
  </cols>
  <sheetData>
    <row r="1" spans="1:5" ht="17.45" customHeight="1" x14ac:dyDescent="0.25">
      <c r="B1" s="16" t="s">
        <v>34</v>
      </c>
      <c r="C1" s="17"/>
      <c r="D1" s="18"/>
    </row>
    <row r="2" spans="1:5" ht="21" x14ac:dyDescent="0.25">
      <c r="A2" s="3"/>
      <c r="B2" s="31" t="s">
        <v>20</v>
      </c>
      <c r="C2" s="31"/>
      <c r="D2" s="31"/>
      <c r="E2" s="3"/>
    </row>
    <row r="3" spans="1:5" ht="21" x14ac:dyDescent="0.25">
      <c r="A3" s="3"/>
      <c r="B3" s="31" t="s">
        <v>56</v>
      </c>
      <c r="C3" s="31"/>
      <c r="D3" s="31"/>
      <c r="E3" s="3"/>
    </row>
    <row r="4" spans="1:5" ht="5.0999999999999996" customHeight="1" x14ac:dyDescent="0.25">
      <c r="A4" s="3"/>
      <c r="E4" s="3"/>
    </row>
    <row r="5" spans="1:5" x14ac:dyDescent="0.25">
      <c r="A5" s="3"/>
      <c r="B5" s="4" t="s">
        <v>21</v>
      </c>
      <c r="C5" s="12"/>
      <c r="D5" s="6" t="s">
        <v>31</v>
      </c>
      <c r="E5" s="3"/>
    </row>
    <row r="6" spans="1:5" ht="5.0999999999999996" customHeight="1" x14ac:dyDescent="0.25">
      <c r="A6" s="3"/>
      <c r="E6" s="3"/>
    </row>
    <row r="7" spans="1:5" x14ac:dyDescent="0.25">
      <c r="A7" s="3"/>
      <c r="B7" s="26" t="s">
        <v>32</v>
      </c>
      <c r="C7" s="27" cm="1">
        <f t="array" ref="C7">SUMPRODUCT((Approvisionnements!E2:E999999)*(Approvisionnements!G2:G999999="BIO"))</f>
        <v>0</v>
      </c>
      <c r="E7" s="3"/>
    </row>
    <row r="8" spans="1:5" ht="18" customHeight="1" x14ac:dyDescent="0.25">
      <c r="A8" s="3"/>
      <c r="B8" s="24" t="s">
        <v>53</v>
      </c>
      <c r="C8" s="25" cm="1">
        <f t="array" ref="C8">SUMPRODUCT((Approvisionnements!E2:E999999)*(Approvisionnements!G2:G999999="BIO")*(Approvisionnements!H2:H999999="COMMERCE_EQUITABLE"))</f>
        <v>0</v>
      </c>
      <c r="E8" s="3"/>
    </row>
    <row r="9" spans="1:5" ht="5.0999999999999996" customHeight="1" x14ac:dyDescent="0.25">
      <c r="A9" s="3"/>
      <c r="E9" s="3"/>
    </row>
    <row r="10" spans="1:5" ht="16.5" customHeight="1" x14ac:dyDescent="0.25">
      <c r="A10" s="3"/>
      <c r="B10" s="4" t="s">
        <v>22</v>
      </c>
      <c r="C10" s="12">
        <f>SUMPRODUCT((Approvisionnements!E2:E999999)*((Approvisionnements!G2:G999999="LABEL_ROUGE")+(Approvisionnements!G2:G999999="AOC_AOP")+(Approvisionnements!G2:G999999="IGP")+(Approvisionnements!G2:G999999="STG")))</f>
        <v>0</v>
      </c>
      <c r="E10" s="3"/>
    </row>
    <row r="11" spans="1:5" ht="5.0999999999999996" customHeight="1" x14ac:dyDescent="0.25">
      <c r="A11" s="3"/>
      <c r="C11" s="30"/>
      <c r="E11" s="3"/>
    </row>
    <row r="12" spans="1:5" ht="31.5" x14ac:dyDescent="0.25">
      <c r="A12" s="3"/>
      <c r="B12" s="26" t="s">
        <v>23</v>
      </c>
      <c r="C12" s="29">
        <f>SUMPRODUCT((Approvisionnements!E2:E999999)*((Approvisionnements!G2:G999999="HVE")+(Approvisionnements!G2:G999999="PECHE_DURABLE")+(Approvisionnements!G2:G999999="RUP")+(Approvisionnements!G2:G999999="COMMERCE_EQUITABLE")+(Approvisionnements!G2:G999999="FERMIER")))</f>
        <v>0</v>
      </c>
      <c r="D12" s="28"/>
      <c r="E12" s="3"/>
    </row>
    <row r="13" spans="1:5" x14ac:dyDescent="0.25">
      <c r="A13" s="3"/>
      <c r="B13" s="24" t="s">
        <v>54</v>
      </c>
      <c r="C13" s="25" cm="1">
        <f t="array" ref="C13">SUMPRODUCT((Approvisionnements!E2:E999999)*((Approvisionnements!H2:H999999="COMMERCE_EQUITABLE")*(Approvisionnements!G2:G999999&lt;&gt;"BIO")))</f>
        <v>0</v>
      </c>
      <c r="E13" s="3"/>
    </row>
    <row r="14" spans="1:5" ht="5.0999999999999996" customHeight="1" x14ac:dyDescent="0.25">
      <c r="A14" s="3"/>
      <c r="E14" s="3"/>
    </row>
    <row r="15" spans="1:5" ht="63" x14ac:dyDescent="0.25">
      <c r="A15" s="3"/>
      <c r="B15" s="4" t="s">
        <v>33</v>
      </c>
      <c r="C15" s="12">
        <f>SUMPRODUCT((Approvisionnements!E2:E999999)*((Approvisionnements!G2:G999999="EXTERNALITES")+(Approvisionnements!G2:G999999="PERFORMANCE")))</f>
        <v>0</v>
      </c>
      <c r="E15" s="3"/>
    </row>
    <row r="16" spans="1:5" ht="5.0999999999999996" customHeight="1" x14ac:dyDescent="0.25">
      <c r="A16" s="3"/>
      <c r="E16" s="3"/>
    </row>
    <row r="17" spans="1:5" ht="21" x14ac:dyDescent="0.35">
      <c r="A17" s="8"/>
      <c r="B17" s="9" t="s">
        <v>24</v>
      </c>
      <c r="C17" s="13"/>
      <c r="D17" s="10"/>
      <c r="E17" s="3"/>
    </row>
    <row r="18" spans="1:5" ht="5.0999999999999996" customHeight="1" x14ac:dyDescent="0.25">
      <c r="A18" s="3"/>
      <c r="E18" s="3"/>
    </row>
    <row r="19" spans="1:5" x14ac:dyDescent="0.25">
      <c r="A19" s="3"/>
      <c r="B19" s="4" t="s">
        <v>25</v>
      </c>
      <c r="C19" s="12"/>
      <c r="D19" s="6" t="s">
        <v>31</v>
      </c>
      <c r="E19" s="3"/>
    </row>
    <row r="20" spans="1:5" ht="5.0999999999999996" customHeight="1" x14ac:dyDescent="0.25">
      <c r="A20" s="3"/>
      <c r="E20" s="3"/>
    </row>
    <row r="21" spans="1:5" x14ac:dyDescent="0.25">
      <c r="A21" s="3"/>
      <c r="B21" s="5" t="s">
        <v>26</v>
      </c>
      <c r="C21" s="15" cm="1">
        <f t="array" ref="C21">SUMPRODUCT((Approvisionnements!E2:E999999)*(Approvisionnements!F2:F999999="VIANDES_VOLAILLES")*(Approvisionnements!G2:G999999&lt;&gt;""))</f>
        <v>0</v>
      </c>
      <c r="E21" s="3"/>
    </row>
    <row r="22" spans="1:5" ht="5.0999999999999996" customHeight="1" x14ac:dyDescent="0.25">
      <c r="A22" s="3"/>
      <c r="E22" s="3"/>
    </row>
    <row r="23" spans="1:5" x14ac:dyDescent="0.25">
      <c r="A23" s="3"/>
      <c r="B23" s="4" t="s">
        <v>27</v>
      </c>
      <c r="C23" s="12" cm="1">
        <f t="array" ref="C23">SUMPRODUCT((Approvisionnements!E2:E999999)*(Approvisionnements!F2:F999999="VIANDES_VOLAILLES")*(Approvisionnements!I2:I999999&lt;&gt;""))</f>
        <v>0</v>
      </c>
      <c r="E23" s="3"/>
    </row>
    <row r="24" spans="1:5" ht="5.0999999999999996" customHeight="1" x14ac:dyDescent="0.25">
      <c r="A24" s="3"/>
      <c r="E24" s="3"/>
    </row>
    <row r="25" spans="1:5" ht="21" x14ac:dyDescent="0.25">
      <c r="A25" s="3"/>
      <c r="B25" s="32" t="s">
        <v>28</v>
      </c>
      <c r="C25" s="32"/>
      <c r="D25" s="32"/>
      <c r="E25" s="3"/>
    </row>
    <row r="26" spans="1:5" ht="5.0999999999999996" customHeight="1" x14ac:dyDescent="0.25">
      <c r="A26" s="3"/>
      <c r="E26" s="3"/>
    </row>
    <row r="27" spans="1:5" ht="31.5" x14ac:dyDescent="0.25">
      <c r="A27" s="3"/>
      <c r="B27" s="4" t="s">
        <v>29</v>
      </c>
      <c r="C27" s="12"/>
      <c r="D27" s="6" t="s">
        <v>31</v>
      </c>
      <c r="E27" s="3"/>
    </row>
    <row r="28" spans="1:5" ht="5.0999999999999996" customHeight="1" x14ac:dyDescent="0.25">
      <c r="A28" s="3"/>
      <c r="E28" s="3"/>
    </row>
    <row r="29" spans="1:5" ht="31.5" x14ac:dyDescent="0.25">
      <c r="A29" s="3"/>
      <c r="B29" s="4" t="s">
        <v>30</v>
      </c>
      <c r="C29" s="12" cm="1">
        <f t="array" ref="C29">SUMPRODUCT((Approvisionnements!E2:E999999)*(Approvisionnements!F2:F999999="PRODUITS_DE_LA_MER")*(Approvisionnements!G2:G999999&lt;&gt;""))</f>
        <v>0</v>
      </c>
      <c r="E29" s="3"/>
    </row>
    <row r="30" spans="1:5" ht="5.0999999999999996" customHeight="1" x14ac:dyDescent="0.25">
      <c r="A30" s="3"/>
      <c r="E30" s="3"/>
    </row>
    <row r="31" spans="1:5" ht="21" x14ac:dyDescent="0.25">
      <c r="A31" s="3"/>
      <c r="B31" s="32" t="s">
        <v>55</v>
      </c>
      <c r="C31" s="32"/>
      <c r="D31" s="32"/>
      <c r="E31" s="3"/>
    </row>
    <row r="32" spans="1:5" ht="5.0999999999999996" customHeight="1" x14ac:dyDescent="0.25">
      <c r="A32" s="3"/>
      <c r="E32" s="3"/>
    </row>
    <row r="33" spans="1:5" x14ac:dyDescent="0.25">
      <c r="A33" s="3"/>
      <c r="B33" s="4" t="s">
        <v>57</v>
      </c>
      <c r="C33" s="12">
        <f>C23</f>
        <v>0</v>
      </c>
      <c r="D33" s="6"/>
      <c r="E33" s="3"/>
    </row>
    <row r="34" spans="1:5" ht="5.0999999999999996" customHeight="1" x14ac:dyDescent="0.25">
      <c r="A34" s="3"/>
      <c r="E34" s="3"/>
    </row>
    <row r="35" spans="1:5" ht="31.5" x14ac:dyDescent="0.25">
      <c r="A35" s="3"/>
      <c r="B35" s="4" t="s">
        <v>58</v>
      </c>
      <c r="C35" s="12" cm="1">
        <f t="array" ref="C35">SUMPRODUCT((Approvisionnements!E2:E999999)*(Approvisionnements!F2:F999999="PRODUITS_DE_LA_MER")*(Approvisionnements!I2:I999999&lt;&gt;""))</f>
        <v>0</v>
      </c>
      <c r="E35" s="3"/>
    </row>
    <row r="36" spans="1:5" ht="5.0999999999999996" customHeight="1" x14ac:dyDescent="0.25">
      <c r="A36" s="3"/>
      <c r="E36" s="3"/>
    </row>
    <row r="37" spans="1:5" x14ac:dyDescent="0.25">
      <c r="A37" s="3"/>
      <c r="B37" s="4" t="s">
        <v>59</v>
      </c>
      <c r="C37" s="12" cm="1">
        <f t="array" ref="C37">SUMPRODUCT((Approvisionnements!E2:E999999)*(Approvisionnements!F2:F999999="CHARCUTERIE")*(Approvisionnements!I2:I999999&lt;&gt;""))</f>
        <v>0</v>
      </c>
      <c r="D37" s="6"/>
      <c r="E37" s="3"/>
    </row>
    <row r="38" spans="1:5" ht="5.0999999999999996" customHeight="1" x14ac:dyDescent="0.25">
      <c r="A38" s="3"/>
      <c r="E38" s="3"/>
    </row>
    <row r="39" spans="1:5" ht="19.5" customHeight="1" x14ac:dyDescent="0.25">
      <c r="A39" s="3"/>
      <c r="B39" s="4" t="s">
        <v>60</v>
      </c>
      <c r="C39" s="12" cm="1">
        <f t="array" ref="C39">SUMPRODUCT((Approvisionnements!E2:E999999)*(Approvisionnements!F2:F999999="FRUITS_ET_LEGUMES")*(Approvisionnements!I2:I999999&lt;&gt;""))</f>
        <v>0</v>
      </c>
      <c r="E39" s="3"/>
    </row>
    <row r="40" spans="1:5" ht="5.0999999999999996" customHeight="1" x14ac:dyDescent="0.25">
      <c r="A40" s="3"/>
      <c r="E40" s="3"/>
    </row>
    <row r="41" spans="1:5" ht="31.5" x14ac:dyDescent="0.25">
      <c r="A41" s="3"/>
      <c r="B41" s="4" t="s">
        <v>61</v>
      </c>
      <c r="C41" s="12" cm="1">
        <f t="array" ref="C41">SUMPRODUCT((Approvisionnements!E2:E999999)*(Approvisionnements!F2:F999999="PRODUITS_LAITIERS")*(Approvisionnements!I2:I999999&lt;&gt;""))</f>
        <v>0</v>
      </c>
      <c r="D41" s="6"/>
      <c r="E41" s="3"/>
    </row>
    <row r="42" spans="1:5" ht="5.0999999999999996" customHeight="1" x14ac:dyDescent="0.25">
      <c r="A42" s="3"/>
      <c r="E42" s="3"/>
    </row>
    <row r="43" spans="1:5" ht="31.5" x14ac:dyDescent="0.25">
      <c r="A43" s="3"/>
      <c r="B43" s="4" t="s">
        <v>62</v>
      </c>
      <c r="C43" s="12" cm="1">
        <f t="array" ref="C43">SUMPRODUCT((Approvisionnements!E2:E999999)*(Approvisionnements!F2:F999999="BOULANGERIE")*(Approvisionnements!I2:I999999&lt;&gt;""))</f>
        <v>0</v>
      </c>
      <c r="E43" s="3"/>
    </row>
    <row r="44" spans="1:5" ht="5.0999999999999996" customHeight="1" x14ac:dyDescent="0.25">
      <c r="A44" s="3"/>
      <c r="E44" s="3"/>
    </row>
    <row r="45" spans="1:5" x14ac:dyDescent="0.25">
      <c r="A45" s="3"/>
      <c r="B45" s="4" t="s">
        <v>63</v>
      </c>
      <c r="C45" s="12" cm="1">
        <f t="array" ref="C45">SUMPRODUCT((Approvisionnements!E2:E999999)*(Approvisionnements!F2:F999999="BOULANGERIE")*(Approvisionnements!I2:I999999&lt;&gt;""))</f>
        <v>0</v>
      </c>
      <c r="D45" s="6"/>
      <c r="E45" s="3"/>
    </row>
    <row r="46" spans="1:5" ht="5.0999999999999996" customHeight="1" x14ac:dyDescent="0.25">
      <c r="A46" s="3"/>
      <c r="E46" s="3"/>
    </row>
    <row r="47" spans="1:5" ht="31.5" x14ac:dyDescent="0.25">
      <c r="A47" s="3"/>
      <c r="B47" s="4" t="s">
        <v>64</v>
      </c>
      <c r="C47" s="12" cm="1">
        <f t="array" ref="C47">SUMPRODUCT((Approvisionnements!E2:E999999)*(Approvisionnements!F2:F999999="BOULANGERIE")*(Approvisionnements!I2:I999999&lt;&gt;""))</f>
        <v>0</v>
      </c>
      <c r="E47" s="3"/>
    </row>
    <row r="48" spans="1:5" ht="21" customHeight="1" x14ac:dyDescent="0.25">
      <c r="A48" s="3"/>
      <c r="B48" s="2"/>
      <c r="C48" s="14"/>
      <c r="D48" s="3"/>
      <c r="E48" s="3"/>
    </row>
  </sheetData>
  <mergeCells count="4">
    <mergeCell ref="B3:D3"/>
    <mergeCell ref="B2:D2"/>
    <mergeCell ref="B25:D25"/>
    <mergeCell ref="B31:D3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J4"/>
  <sheetViews>
    <sheetView tabSelected="1" zoomScaleNormal="100" workbookViewId="0">
      <pane ySplit="1" topLeftCell="A2" activePane="bottomLeft" state="frozen"/>
      <selection pane="bottomLeft" activeCell="G1" sqref="G1"/>
    </sheetView>
  </sheetViews>
  <sheetFormatPr baseColWidth="10" defaultColWidth="10.5" defaultRowHeight="15.75" x14ac:dyDescent="0.25"/>
  <cols>
    <col min="1" max="1" width="17" customWidth="1"/>
    <col min="2" max="2" width="21" customWidth="1"/>
    <col min="3" max="3" width="13.625" customWidth="1"/>
    <col min="4" max="4" width="20.75" customWidth="1"/>
    <col min="5" max="5" width="20.25" style="11" customWidth="1"/>
    <col min="6" max="6" width="29.25" customWidth="1"/>
    <col min="7" max="10" width="23.625" customWidth="1"/>
    <col min="11" max="11" width="10.5" customWidth="1"/>
  </cols>
  <sheetData>
    <row r="1" spans="1:10" s="19" customFormat="1" ht="15" customHeight="1" x14ac:dyDescent="0.25">
      <c r="A1" s="20" t="s">
        <v>43</v>
      </c>
      <c r="B1" s="21" t="s">
        <v>44</v>
      </c>
      <c r="C1" s="21" t="s">
        <v>45</v>
      </c>
      <c r="D1" s="20" t="s">
        <v>46</v>
      </c>
      <c r="E1" s="22" t="s">
        <v>47</v>
      </c>
      <c r="F1" s="21" t="s">
        <v>41</v>
      </c>
      <c r="G1" s="21" t="s">
        <v>50</v>
      </c>
      <c r="H1" s="21" t="s">
        <v>51</v>
      </c>
      <c r="I1" s="21" t="s">
        <v>52</v>
      </c>
      <c r="J1" s="21" t="s">
        <v>42</v>
      </c>
    </row>
    <row r="2" spans="1:10" x14ac:dyDescent="0.25">
      <c r="D2" s="7"/>
      <c r="E2" s="23"/>
    </row>
    <row r="3" spans="1:10" x14ac:dyDescent="0.25">
      <c r="D3" s="7"/>
      <c r="E3" s="23"/>
    </row>
    <row r="4" spans="1:10" x14ac:dyDescent="0.25">
      <c r="E4" s="23"/>
    </row>
  </sheetData>
  <autoFilter ref="A1:J1" xr:uid="{00000000-0001-0000-0100-000000000000}"/>
  <pageMargins left="0.7" right="0.7" top="0.75" bottom="0.75" header="0.511811023622047" footer="0.511811023622047"/>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0000000}">
          <x14:formula1>
            <xm:f>Feuil1!$A$3:$A$10</xm:f>
          </x14:formula1>
          <xm:sqref>F2:F20001</xm:sqref>
        </x14:dataValidation>
        <x14:dataValidation type="list" allowBlank="1" showInputMessage="1" showErrorMessage="1" xr:uid="{00000000-0002-0000-0100-000002000000}">
          <x14:formula1>
            <xm:f>Feuil1!$E$3:$E$6</xm:f>
          </x14:formula1>
          <xm:sqref>J1:J1048576</xm:sqref>
        </x14:dataValidation>
        <x14:dataValidation type="list" allowBlank="1" showInputMessage="1" showErrorMessage="1" xr:uid="{5C6572FB-D724-44A6-880A-EC581EA1FB0B}">
          <x14:formula1>
            <xm:f>Feuil1!$B$3:$B$14</xm:f>
          </x14:formula1>
          <xm:sqref>G2:G1048576</xm:sqref>
        </x14:dataValidation>
        <x14:dataValidation type="list" allowBlank="1" showInputMessage="1" showErrorMessage="1" xr:uid="{C572A8DB-D209-4DEA-B615-79A6D20B59BF}">
          <x14:formula1>
            <xm:f>Feuil1!$C$3:$C$13</xm:f>
          </x14:formula1>
          <xm:sqref>H2:H1048576</xm:sqref>
        </x14:dataValidation>
        <x14:dataValidation type="list" allowBlank="1" showInputMessage="1" showErrorMessage="1" xr:uid="{C486DADF-CF84-4557-B150-A311E9823815}">
          <x14:formula1>
            <xm:f>Feuil1!$D$3:$D$5</xm:f>
          </x14:formula1>
          <xm:sqref>I2:I1048576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E14"/>
  <sheetViews>
    <sheetView workbookViewId="0">
      <selection activeCell="B15" sqref="B15:B17"/>
    </sheetView>
  </sheetViews>
  <sheetFormatPr baseColWidth="10" defaultRowHeight="15.75" x14ac:dyDescent="0.25"/>
  <cols>
    <col min="1" max="1" width="34.25" customWidth="1"/>
    <col min="2" max="4" width="23.625" customWidth="1"/>
    <col min="5" max="5" width="19.125" customWidth="1"/>
  </cols>
  <sheetData>
    <row r="1" spans="1:5" x14ac:dyDescent="0.25">
      <c r="A1" t="s">
        <v>35</v>
      </c>
      <c r="B1" t="s">
        <v>50</v>
      </c>
      <c r="C1" t="s">
        <v>51</v>
      </c>
      <c r="D1" t="s">
        <v>52</v>
      </c>
      <c r="E1" t="s">
        <v>42</v>
      </c>
    </row>
    <row r="3" spans="1:5" x14ac:dyDescent="0.25">
      <c r="A3" t="s">
        <v>2</v>
      </c>
      <c r="B3" t="s">
        <v>7</v>
      </c>
      <c r="C3" t="s">
        <v>8</v>
      </c>
      <c r="D3" t="s">
        <v>48</v>
      </c>
      <c r="E3" t="s">
        <v>18</v>
      </c>
    </row>
    <row r="4" spans="1:5" x14ac:dyDescent="0.25">
      <c r="A4" t="s">
        <v>3</v>
      </c>
      <c r="B4" t="s">
        <v>8</v>
      </c>
      <c r="C4" t="s">
        <v>38</v>
      </c>
      <c r="D4" t="s">
        <v>49</v>
      </c>
      <c r="E4" t="s">
        <v>40</v>
      </c>
    </row>
    <row r="5" spans="1:5" x14ac:dyDescent="0.25">
      <c r="A5" t="s">
        <v>4</v>
      </c>
      <c r="B5" t="s">
        <v>38</v>
      </c>
      <c r="C5" t="s">
        <v>9</v>
      </c>
      <c r="D5" t="s">
        <v>39</v>
      </c>
      <c r="E5" t="s">
        <v>1</v>
      </c>
    </row>
    <row r="6" spans="1:5" x14ac:dyDescent="0.25">
      <c r="A6" t="s">
        <v>5</v>
      </c>
      <c r="B6" t="s">
        <v>9</v>
      </c>
      <c r="C6" t="s">
        <v>10</v>
      </c>
      <c r="E6" t="s">
        <v>19</v>
      </c>
    </row>
    <row r="7" spans="1:5" x14ac:dyDescent="0.25">
      <c r="A7" t="s">
        <v>36</v>
      </c>
      <c r="B7" t="s">
        <v>10</v>
      </c>
      <c r="C7" t="s">
        <v>11</v>
      </c>
    </row>
    <row r="8" spans="1:5" x14ac:dyDescent="0.25">
      <c r="A8" t="s">
        <v>37</v>
      </c>
      <c r="B8" t="s">
        <v>11</v>
      </c>
      <c r="C8" t="s">
        <v>12</v>
      </c>
    </row>
    <row r="9" spans="1:5" x14ac:dyDescent="0.25">
      <c r="A9" t="s">
        <v>6</v>
      </c>
      <c r="B9" t="s">
        <v>12</v>
      </c>
      <c r="C9" t="s">
        <v>13</v>
      </c>
    </row>
    <row r="10" spans="1:5" x14ac:dyDescent="0.25">
      <c r="A10" t="s">
        <v>0</v>
      </c>
      <c r="B10" t="s">
        <v>13</v>
      </c>
      <c r="C10" t="s">
        <v>14</v>
      </c>
    </row>
    <row r="11" spans="1:5" x14ac:dyDescent="0.25">
      <c r="B11" t="s">
        <v>14</v>
      </c>
      <c r="C11" t="s">
        <v>15</v>
      </c>
    </row>
    <row r="12" spans="1:5" x14ac:dyDescent="0.25">
      <c r="B12" t="s">
        <v>15</v>
      </c>
      <c r="C12" t="s">
        <v>16</v>
      </c>
    </row>
    <row r="13" spans="1:5" x14ac:dyDescent="0.25">
      <c r="B13" t="s">
        <v>16</v>
      </c>
      <c r="C13" t="s">
        <v>17</v>
      </c>
    </row>
    <row r="14" spans="1:5" x14ac:dyDescent="0.25">
      <c r="B14" t="s">
        <v>17</v>
      </c>
    </row>
  </sheetData>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Synthèse</vt:lpstr>
      <vt:lpstr>Approvisionnements</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Helen Frances Root</dc:creator>
  <dc:description/>
  <cp:lastModifiedBy>Dorian FLIPO</cp:lastModifiedBy>
  <cp:revision>1</cp:revision>
  <dcterms:created xsi:type="dcterms:W3CDTF">2022-05-25T15:50:13Z</dcterms:created>
  <dcterms:modified xsi:type="dcterms:W3CDTF">2026-02-04T17:21:13Z</dcterms:modified>
  <dc:language>en-US</dc:language>
</cp:coreProperties>
</file>